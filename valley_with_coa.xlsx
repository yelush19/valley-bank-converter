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valley-bank-converter\"/>
    </mc:Choice>
  </mc:AlternateContent>
  <xr:revisionPtr revIDLastSave="0" documentId="13_ncr:1_{3D12CC87-C835-4829-8818-CA9F7522A183}" xr6:coauthVersionLast="47" xr6:coauthVersionMax="47" xr10:uidLastSave="{00000000-0000-0000-0000-000000000000}"/>
  <bookViews>
    <workbookView xWindow="31110" yWindow="4110" windowWidth="21600" windowHeight="11295" xr2:uid="{00000000-000D-0000-FFFF-FFFF00000000}"/>
  </bookViews>
  <sheets>
    <sheet name="Transactions" sheetId="1" r:id="rId1"/>
  </sheets>
  <definedNames>
    <definedName name="VALLEYTRANS">Transactions!$A$1:$G$65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1" l="1"/>
  <c r="D64" i="1"/>
  <c r="C60" i="1"/>
  <c r="C61" i="1"/>
  <c r="C62" i="1"/>
  <c r="C63" i="1"/>
  <c r="C59" i="1"/>
  <c r="D58" i="1"/>
  <c r="C57" i="1"/>
  <c r="C56" i="1"/>
  <c r="D54" i="1"/>
  <c r="D55" i="1"/>
  <c r="D53" i="1"/>
  <c r="C47" i="1"/>
  <c r="C48" i="1"/>
  <c r="C49" i="1"/>
  <c r="C50" i="1"/>
  <c r="C51" i="1"/>
  <c r="C52" i="1"/>
  <c r="C46" i="1"/>
  <c r="D45" i="1"/>
  <c r="C43" i="1"/>
  <c r="C44" i="1"/>
  <c r="C42" i="1"/>
  <c r="D40" i="1"/>
  <c r="D41" i="1"/>
  <c r="D39" i="1"/>
  <c r="C38" i="1"/>
  <c r="D37" i="1"/>
  <c r="C33" i="1"/>
  <c r="C34" i="1"/>
  <c r="C35" i="1"/>
  <c r="C36" i="1"/>
  <c r="C32" i="1"/>
  <c r="D29" i="1"/>
  <c r="D30" i="1"/>
  <c r="D31" i="1"/>
  <c r="D28" i="1"/>
  <c r="C27" i="1"/>
  <c r="C26" i="1"/>
  <c r="C25" i="1"/>
  <c r="D20" i="1"/>
  <c r="D21" i="1"/>
  <c r="D22" i="1"/>
  <c r="D23" i="1"/>
  <c r="D24" i="1"/>
  <c r="D19" i="1"/>
  <c r="C18" i="1"/>
  <c r="D16" i="1"/>
  <c r="D17" i="1"/>
  <c r="D15" i="1"/>
  <c r="C14" i="1"/>
  <c r="D10" i="1"/>
  <c r="D11" i="1"/>
  <c r="D12" i="1"/>
  <c r="D13" i="1"/>
  <c r="D9" i="1"/>
  <c r="C8" i="1"/>
  <c r="C7" i="1"/>
  <c r="D4" i="1"/>
  <c r="D5" i="1"/>
  <c r="D6" i="1"/>
  <c r="D3" i="1"/>
  <c r="C2" i="1"/>
</calcChain>
</file>

<file path=xl/sharedStrings.xml><?xml version="1.0" encoding="utf-8"?>
<sst xmlns="http://schemas.openxmlformats.org/spreadsheetml/2006/main" count="327" uniqueCount="119">
  <si>
    <t>תאריך</t>
  </si>
  <si>
    <t>תיאור</t>
  </si>
  <si>
    <t>חובה</t>
  </si>
  <si>
    <t>זכות</t>
  </si>
  <si>
    <t>קטגוריה</t>
  </si>
  <si>
    <t>ח"ן חובה</t>
  </si>
  <si>
    <t>ח"ן זכות</t>
  </si>
  <si>
    <t>24/10/2025</t>
  </si>
  <si>
    <t>FISHER INVESTMEN INV- RMR*IK*INV-\</t>
  </si>
  <si>
    <t>Revenue</t>
  </si>
  <si>
    <t>29/10/2025</t>
  </si>
  <si>
    <t>NATIONAL EMPLOYE INVOICE H</t>
  </si>
  <si>
    <t>Employee Salaries &amp; Benefits</t>
  </si>
  <si>
    <t>30/10/2025</t>
  </si>
  <si>
    <t>Deel</t>
  </si>
  <si>
    <t>03/11/2025</t>
  </si>
  <si>
    <t>The Yard 2 Lower SIGONFILE</t>
  </si>
  <si>
    <t>Office Rent</t>
  </si>
  <si>
    <t>BRANDLIGHT LTD LEVERAGED</t>
  </si>
  <si>
    <t>Marketing &amp; Advertising</t>
  </si>
  <si>
    <t>04/11/2025</t>
  </si>
  <si>
    <t>NSKNOX TECHNOLOG PAYMENTS</t>
  </si>
  <si>
    <t>Bank Fees &amp; interest</t>
  </si>
  <si>
    <t>PRIME ONLINE LIMITED BRANDLIGHT INC. INV</t>
  </si>
  <si>
    <t>PHILIP STEIN AND ASSOCIATES LTD PRO FORM</t>
  </si>
  <si>
    <t>Professional Services</t>
  </si>
  <si>
    <t>NSKNOX TECHNOLOGIES</t>
  </si>
  <si>
    <t>07/11/2025</t>
  </si>
  <si>
    <t>PAYEM CSMRS PRGM FUNDING BRANDLIGHT AI</t>
  </si>
  <si>
    <t>Credit/Debit banks/Accounts</t>
  </si>
  <si>
    <t>10/11/2025</t>
  </si>
  <si>
    <t>CENSUSWIDE LTD BRANDLIGHT REMAINING INV.</t>
  </si>
  <si>
    <t>12/11/2025</t>
  </si>
  <si>
    <t>BRANDLIGHT AI LTD</t>
  </si>
  <si>
    <t>SAS CADOA BRANDLIGHT CAD2442</t>
  </si>
  <si>
    <t>Technology</t>
  </si>
  <si>
    <t>DEAL# 1449182</t>
  </si>
  <si>
    <t>13/11/2025</t>
  </si>
  <si>
    <t>MMS AS PAYCO6366 EDI PAYMNT REF*TN** Var</t>
  </si>
  <si>
    <t>IRS USER FEE PAYMENT</t>
  </si>
  <si>
    <t>Authorities</t>
  </si>
  <si>
    <t>17/11/2025</t>
  </si>
  <si>
    <t>ANDREW BLOOM CONSULTING LLC BRANDLIGHT I</t>
  </si>
  <si>
    <t>Vendors</t>
  </si>
  <si>
    <t>CONNEXUS LIMITED BRANDLIGHT INVOICE NO34</t>
  </si>
  <si>
    <t>ANALYSIS ACTIVITY FOR 10/25</t>
  </si>
  <si>
    <t>19/11/2025</t>
  </si>
  <si>
    <t>ATASH LAW P.C. BRANDLIGHT INV 2281</t>
  </si>
  <si>
    <t>HUBSPOT</t>
  </si>
  <si>
    <t>21/11/2025</t>
  </si>
  <si>
    <t>LOGMEIN 11.19.2025 RMR*IK*IN\</t>
  </si>
  <si>
    <t>LEO BURNETT LIMITED /BNF//CHPREF/</t>
  </si>
  <si>
    <t>25/11/2025</t>
  </si>
  <si>
    <t>Teneo Strategy L USSC 11.21 00004599/</t>
  </si>
  <si>
    <t>ARNON</t>
  </si>
  <si>
    <t>BRANDLIGHT LTD PUBLIC REL</t>
  </si>
  <si>
    <t>26/11/2025</t>
  </si>
  <si>
    <t>28/11/2025</t>
  </si>
  <si>
    <t>01/12/2025</t>
  </si>
  <si>
    <t>ISCAR LTD INVOICES</t>
  </si>
  <si>
    <t>04/12/2025</t>
  </si>
  <si>
    <t>KIMBERLY CL6933 EDI PAYMNT</t>
  </si>
  <si>
    <t>09/12/2025</t>
  </si>
  <si>
    <t>1/SAAR TECHNOLOGIES )Z.H( LTD /BNF/BOOK/</t>
  </si>
  <si>
    <t>11/12/2025</t>
  </si>
  <si>
    <t>WISE US INC From Inmarkets Limited Via W</t>
  </si>
  <si>
    <t>12/12/2025</t>
  </si>
  <si>
    <t>SOFWAVE MEDICAL LTD INVOICE NO. 034 DATE</t>
  </si>
  <si>
    <t>XVERUM LLC BRANDLIGHT</t>
  </si>
  <si>
    <t>15/12/2025</t>
  </si>
  <si>
    <t>DAVID SHIELD - PASSPORTCARD LTD INV- PAY</t>
  </si>
  <si>
    <t>16/12/2025</t>
  </si>
  <si>
    <t>1/ZYG EDGE LTD INV- /BNF/BOOK/JS</t>
  </si>
  <si>
    <t>ANALYSIS ACTIVITY FOR 11/25</t>
  </si>
  <si>
    <t>22/12/2025</t>
  </si>
  <si>
    <t>TENEO STRATEGY LIMITED /ROC/BRANDLIGHT I</t>
  </si>
  <si>
    <t>24/12/2025</t>
  </si>
  <si>
    <t>DATA AXLE PJP ACH 12</t>
  </si>
  <si>
    <t>26/12/2025</t>
  </si>
  <si>
    <t>PELION VENTURES VIII-A</t>
  </si>
  <si>
    <t>Investment</t>
  </si>
  <si>
    <t>PELION VENTURES VIII-C</t>
  </si>
  <si>
    <t>PELION VENTURES VIII - ENTREPRENEU+ PELI</t>
  </si>
  <si>
    <t>PELION VENTURES VIII FINANCIAL PELION VE</t>
  </si>
  <si>
    <t>PELION VENTURES VIII</t>
  </si>
  <si>
    <t>29/12/2025</t>
  </si>
  <si>
    <t>Recruitment</t>
  </si>
  <si>
    <t>30/12/2025</t>
  </si>
  <si>
    <t>HARTFORD FIRE IN TRADE EXC</t>
  </si>
  <si>
    <t>G20 VENTURES IV LP BRANDLIGHT INC SAFE</t>
  </si>
  <si>
    <t>31/12/2025</t>
  </si>
  <si>
    <t>Deposit</t>
  </si>
  <si>
    <t>LLORENTE CUENCA MADRID SL /ROC/AFJQ18/UR</t>
  </si>
  <si>
    <t>CARDUMEN DEEPTECH II ILS SCR-PYME ABA/RO</t>
  </si>
  <si>
    <t>CARDUMEN DEEPTECH II A SCR-PYME S PLEASE</t>
  </si>
  <si>
    <t>CARDUMEN DEEPTECH FUND II FCRE PLEASE PA</t>
  </si>
  <si>
    <t>MAYER BROWN LLP 25802709 INVESTMENT INBR</t>
  </si>
  <si>
    <t>GOOGLE ACCTVERIFY US004A0Q</t>
  </si>
  <si>
    <t>540001</t>
  </si>
  <si>
    <t>500009</t>
  </si>
  <si>
    <t>964000</t>
  </si>
  <si>
    <t>911003</t>
  </si>
  <si>
    <t>962006</t>
  </si>
  <si>
    <t>990001</t>
  </si>
  <si>
    <t>502010</t>
  </si>
  <si>
    <t>901005</t>
  </si>
  <si>
    <t>990002</t>
  </si>
  <si>
    <t>500001</t>
  </si>
  <si>
    <t>962003</t>
  </si>
  <si>
    <t>700000</t>
  </si>
  <si>
    <t>300001</t>
  </si>
  <si>
    <t>600015</t>
  </si>
  <si>
    <t>600016</t>
  </si>
  <si>
    <t>600017</t>
  </si>
  <si>
    <t>600006</t>
  </si>
  <si>
    <t>600018</t>
  </si>
  <si>
    <t>600019</t>
  </si>
  <si>
    <t>600020</t>
  </si>
  <si>
    <t>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</si>
</sst>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E61" sqref="E61"/>
    </sheetView>
  </sheetViews>
  <sheetFormatPr defaultRowHeight="14.25" x14ac:dyDescent="0.2"/>
  <cols>
    <col min="1" max="1" width="12" customWidth="1"/>
    <col min="2" max="2" width="50" customWidth="1"/>
    <col min="3" max="4" width="15" customWidth="1"/>
    <col min="5" max="5" width="30" customWidth="1"/>
    <col min="6" max="7" width="12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</row>
    <row r="2" spans="1:7" x14ac:dyDescent="0.2">
      <c r="A2" s="2" t="s">
        <v>7</v>
      </c>
      <c r="B2" s="2" t="s">
        <v>8</v>
      </c>
      <c r="C2" s="3">
        <f>D2</f>
        <v>36000</v>
      </c>
      <c r="D2" s="3">
        <v>36000</v>
      </c>
      <c r="E2" s="2" t="s">
        <v>9</v>
      </c>
      <c r="F2" s="7" t="s">
        <v>118</v>
      </c>
      <c r="G2" s="7" t="s">
        <v>109</v>
      </c>
    </row>
    <row r="3" spans="1:7" x14ac:dyDescent="0.2">
      <c r="A3" s="2" t="s">
        <v>10</v>
      </c>
      <c r="B3" s="2" t="s">
        <v>11</v>
      </c>
      <c r="C3" s="3">
        <v>50147</v>
      </c>
      <c r="D3" s="3">
        <f>C3</f>
        <v>50147</v>
      </c>
      <c r="E3" s="2" t="s">
        <v>12</v>
      </c>
      <c r="F3" s="7" t="s">
        <v>98</v>
      </c>
      <c r="G3" s="7" t="s">
        <v>118</v>
      </c>
    </row>
    <row r="4" spans="1:7" x14ac:dyDescent="0.2">
      <c r="A4" s="2" t="s">
        <v>13</v>
      </c>
      <c r="B4" s="2" t="s">
        <v>14</v>
      </c>
      <c r="C4" s="3">
        <v>21347</v>
      </c>
      <c r="D4" s="3">
        <f t="shared" ref="D4:D6" si="0">C4</f>
        <v>21347</v>
      </c>
      <c r="E4" s="2" t="s">
        <v>12</v>
      </c>
      <c r="F4" s="7" t="s">
        <v>99</v>
      </c>
      <c r="G4" s="7" t="s">
        <v>118</v>
      </c>
    </row>
    <row r="5" spans="1:7" x14ac:dyDescent="0.2">
      <c r="A5" s="2" t="s">
        <v>15</v>
      </c>
      <c r="B5" s="2" t="s">
        <v>16</v>
      </c>
      <c r="C5" s="3">
        <v>1550</v>
      </c>
      <c r="D5" s="3">
        <f t="shared" si="0"/>
        <v>1550</v>
      </c>
      <c r="E5" s="2" t="s">
        <v>17</v>
      </c>
      <c r="F5" s="7" t="s">
        <v>100</v>
      </c>
      <c r="G5" s="7" t="s">
        <v>118</v>
      </c>
    </row>
    <row r="6" spans="1:7" x14ac:dyDescent="0.2">
      <c r="A6" s="2" t="s">
        <v>15</v>
      </c>
      <c r="B6" s="2" t="s">
        <v>18</v>
      </c>
      <c r="C6" s="3">
        <v>3500</v>
      </c>
      <c r="D6" s="3">
        <f t="shared" si="0"/>
        <v>3500</v>
      </c>
      <c r="E6" s="2" t="s">
        <v>19</v>
      </c>
      <c r="F6" s="7" t="s">
        <v>101</v>
      </c>
      <c r="G6" s="7" t="s">
        <v>118</v>
      </c>
    </row>
    <row r="7" spans="1:7" x14ac:dyDescent="0.2">
      <c r="A7" s="2" t="s">
        <v>20</v>
      </c>
      <c r="B7" s="2" t="s">
        <v>21</v>
      </c>
      <c r="C7" s="3">
        <f>D7</f>
        <v>3</v>
      </c>
      <c r="D7" s="3">
        <v>3</v>
      </c>
      <c r="E7" s="2" t="s">
        <v>22</v>
      </c>
      <c r="F7" s="7" t="s">
        <v>118</v>
      </c>
      <c r="G7" s="7" t="s">
        <v>103</v>
      </c>
    </row>
    <row r="8" spans="1:7" x14ac:dyDescent="0.2">
      <c r="A8" s="2" t="s">
        <v>20</v>
      </c>
      <c r="B8" s="2" t="s">
        <v>23</v>
      </c>
      <c r="C8" s="3">
        <f>D8</f>
        <v>5960</v>
      </c>
      <c r="D8" s="3">
        <v>5960</v>
      </c>
      <c r="E8" s="2" t="s">
        <v>9</v>
      </c>
      <c r="F8" s="7" t="s">
        <v>118</v>
      </c>
      <c r="G8" s="7" t="s">
        <v>109</v>
      </c>
    </row>
    <row r="9" spans="1:7" x14ac:dyDescent="0.2">
      <c r="A9" s="2" t="s">
        <v>20</v>
      </c>
      <c r="B9" s="2" t="s">
        <v>24</v>
      </c>
      <c r="C9" s="3">
        <v>1375</v>
      </c>
      <c r="D9" s="3">
        <f>C9</f>
        <v>1375</v>
      </c>
      <c r="E9" s="2" t="s">
        <v>25</v>
      </c>
      <c r="F9" s="7" t="s">
        <v>102</v>
      </c>
      <c r="G9" s="7" t="s">
        <v>118</v>
      </c>
    </row>
    <row r="10" spans="1:7" x14ac:dyDescent="0.2">
      <c r="A10" s="2" t="s">
        <v>20</v>
      </c>
      <c r="B10" s="2" t="s">
        <v>26</v>
      </c>
      <c r="C10" s="3">
        <v>3</v>
      </c>
      <c r="D10" s="3">
        <f t="shared" ref="D10:D13" si="1">C10</f>
        <v>3</v>
      </c>
      <c r="E10" s="2" t="s">
        <v>22</v>
      </c>
      <c r="F10" s="7" t="s">
        <v>103</v>
      </c>
      <c r="G10" s="7" t="s">
        <v>118</v>
      </c>
    </row>
    <row r="11" spans="1:7" x14ac:dyDescent="0.2">
      <c r="A11" s="2" t="s">
        <v>27</v>
      </c>
      <c r="B11" s="2" t="s">
        <v>28</v>
      </c>
      <c r="C11" s="3">
        <v>100000</v>
      </c>
      <c r="D11" s="3">
        <f t="shared" si="1"/>
        <v>100000</v>
      </c>
      <c r="E11" s="2" t="s">
        <v>29</v>
      </c>
      <c r="F11" s="7" t="s">
        <v>104</v>
      </c>
      <c r="G11" s="7" t="s">
        <v>118</v>
      </c>
    </row>
    <row r="12" spans="1:7" x14ac:dyDescent="0.2">
      <c r="A12" s="2" t="s">
        <v>30</v>
      </c>
      <c r="B12" s="2" t="s">
        <v>31</v>
      </c>
      <c r="C12" s="3">
        <v>6000</v>
      </c>
      <c r="D12" s="3">
        <f t="shared" si="1"/>
        <v>6000</v>
      </c>
      <c r="E12" s="2" t="s">
        <v>19</v>
      </c>
      <c r="F12" s="7" t="s">
        <v>101</v>
      </c>
      <c r="G12" s="7" t="s">
        <v>118</v>
      </c>
    </row>
    <row r="13" spans="1:7" x14ac:dyDescent="0.2">
      <c r="A13" s="2" t="s">
        <v>30</v>
      </c>
      <c r="B13" s="2" t="s">
        <v>26</v>
      </c>
      <c r="C13" s="3">
        <v>3</v>
      </c>
      <c r="D13" s="3">
        <f t="shared" si="1"/>
        <v>3</v>
      </c>
      <c r="E13" s="2" t="s">
        <v>22</v>
      </c>
      <c r="F13" s="7" t="s">
        <v>103</v>
      </c>
      <c r="G13" s="7" t="s">
        <v>118</v>
      </c>
    </row>
    <row r="14" spans="1:7" x14ac:dyDescent="0.2">
      <c r="A14" s="2" t="s">
        <v>32</v>
      </c>
      <c r="B14" s="2" t="s">
        <v>33</v>
      </c>
      <c r="C14" s="3">
        <f>D14</f>
        <v>99970</v>
      </c>
      <c r="D14" s="3">
        <v>99970</v>
      </c>
      <c r="E14" s="2" t="s">
        <v>29</v>
      </c>
      <c r="F14" s="7" t="s">
        <v>118</v>
      </c>
      <c r="G14" s="7" t="s">
        <v>110</v>
      </c>
    </row>
    <row r="15" spans="1:7" x14ac:dyDescent="0.2">
      <c r="A15" s="2" t="s">
        <v>32</v>
      </c>
      <c r="B15" s="2" t="s">
        <v>34</v>
      </c>
      <c r="C15" s="3">
        <v>2692</v>
      </c>
      <c r="D15" s="3">
        <f>C15</f>
        <v>2692</v>
      </c>
      <c r="E15" s="2" t="s">
        <v>35</v>
      </c>
      <c r="F15" s="7" t="s">
        <v>105</v>
      </c>
      <c r="G15" s="7" t="s">
        <v>118</v>
      </c>
    </row>
    <row r="16" spans="1:7" x14ac:dyDescent="0.2">
      <c r="A16" s="2" t="s">
        <v>32</v>
      </c>
      <c r="B16" s="2" t="s">
        <v>11</v>
      </c>
      <c r="C16" s="3">
        <v>44612</v>
      </c>
      <c r="D16" s="3">
        <f t="shared" ref="D16:D17" si="2">C16</f>
        <v>44612</v>
      </c>
      <c r="E16" s="2" t="s">
        <v>12</v>
      </c>
      <c r="F16" s="7" t="s">
        <v>98</v>
      </c>
      <c r="G16" s="7" t="s">
        <v>118</v>
      </c>
    </row>
    <row r="17" spans="1:7" x14ac:dyDescent="0.2">
      <c r="A17" s="2" t="s">
        <v>32</v>
      </c>
      <c r="B17" s="2" t="s">
        <v>36</v>
      </c>
      <c r="C17" s="3">
        <v>15000</v>
      </c>
      <c r="D17" s="3">
        <f t="shared" si="2"/>
        <v>15000</v>
      </c>
      <c r="E17" s="2" t="s">
        <v>19</v>
      </c>
      <c r="F17" s="7" t="s">
        <v>101</v>
      </c>
      <c r="G17" s="7" t="s">
        <v>118</v>
      </c>
    </row>
    <row r="18" spans="1:7" x14ac:dyDescent="0.2">
      <c r="A18" s="2" t="s">
        <v>37</v>
      </c>
      <c r="B18" s="2" t="s">
        <v>38</v>
      </c>
      <c r="C18" s="3">
        <f>D18</f>
        <v>2000</v>
      </c>
      <c r="D18" s="3">
        <v>2000</v>
      </c>
      <c r="E18" s="2" t="s">
        <v>9</v>
      </c>
      <c r="F18" s="7" t="s">
        <v>118</v>
      </c>
      <c r="G18" s="7" t="s">
        <v>109</v>
      </c>
    </row>
    <row r="19" spans="1:7" x14ac:dyDescent="0.2">
      <c r="A19" s="2" t="s">
        <v>37</v>
      </c>
      <c r="B19" s="2" t="s">
        <v>39</v>
      </c>
      <c r="C19" s="3">
        <v>185</v>
      </c>
      <c r="D19" s="3">
        <f>C19</f>
        <v>185</v>
      </c>
      <c r="E19" s="2" t="s">
        <v>40</v>
      </c>
      <c r="F19" s="7" t="s">
        <v>106</v>
      </c>
      <c r="G19" s="7" t="s">
        <v>118</v>
      </c>
    </row>
    <row r="20" spans="1:7" x14ac:dyDescent="0.2">
      <c r="A20" s="2" t="s">
        <v>41</v>
      </c>
      <c r="B20" s="2" t="s">
        <v>42</v>
      </c>
      <c r="C20" s="3">
        <v>15000</v>
      </c>
      <c r="D20" s="3">
        <f t="shared" ref="D20:D24" si="3">C20</f>
        <v>15000</v>
      </c>
      <c r="E20" s="2" t="s">
        <v>43</v>
      </c>
      <c r="F20" s="7" t="s">
        <v>107</v>
      </c>
      <c r="G20" s="7" t="s">
        <v>118</v>
      </c>
    </row>
    <row r="21" spans="1:7" x14ac:dyDescent="0.2">
      <c r="A21" s="2" t="s">
        <v>41</v>
      </c>
      <c r="B21" s="2" t="s">
        <v>44</v>
      </c>
      <c r="C21" s="3">
        <v>6743</v>
      </c>
      <c r="D21" s="3">
        <f t="shared" si="3"/>
        <v>6743</v>
      </c>
      <c r="E21" s="2" t="s">
        <v>19</v>
      </c>
      <c r="F21" s="7" t="s">
        <v>101</v>
      </c>
      <c r="G21" s="7" t="s">
        <v>118</v>
      </c>
    </row>
    <row r="22" spans="1:7" x14ac:dyDescent="0.2">
      <c r="A22" s="2" t="s">
        <v>41</v>
      </c>
      <c r="B22" s="2" t="s">
        <v>45</v>
      </c>
      <c r="C22" s="3">
        <v>71</v>
      </c>
      <c r="D22" s="3">
        <f t="shared" si="3"/>
        <v>71</v>
      </c>
      <c r="E22" s="2" t="s">
        <v>22</v>
      </c>
      <c r="F22" s="7" t="s">
        <v>103</v>
      </c>
      <c r="G22" s="7" t="s">
        <v>118</v>
      </c>
    </row>
    <row r="23" spans="1:7" x14ac:dyDescent="0.2">
      <c r="A23" s="2" t="s">
        <v>46</v>
      </c>
      <c r="B23" s="2" t="s">
        <v>47</v>
      </c>
      <c r="C23" s="3">
        <v>3000</v>
      </c>
      <c r="D23" s="3">
        <f t="shared" si="3"/>
        <v>3000</v>
      </c>
      <c r="E23" s="2" t="s">
        <v>25</v>
      </c>
      <c r="F23" s="7" t="s">
        <v>102</v>
      </c>
      <c r="G23" s="7" t="s">
        <v>118</v>
      </c>
    </row>
    <row r="24" spans="1:7" x14ac:dyDescent="0.2">
      <c r="A24" s="2" t="s">
        <v>46</v>
      </c>
      <c r="B24" s="2" t="s">
        <v>48</v>
      </c>
      <c r="C24" s="3">
        <v>2151</v>
      </c>
      <c r="D24" s="3">
        <f t="shared" si="3"/>
        <v>2151</v>
      </c>
      <c r="E24" s="2" t="s">
        <v>19</v>
      </c>
      <c r="F24" s="7" t="s">
        <v>101</v>
      </c>
      <c r="G24" s="7" t="s">
        <v>118</v>
      </c>
    </row>
    <row r="25" spans="1:7" x14ac:dyDescent="0.2">
      <c r="A25" s="2" t="s">
        <v>49</v>
      </c>
      <c r="B25" s="2" t="s">
        <v>50</v>
      </c>
      <c r="C25" s="3">
        <f>D25</f>
        <v>20000</v>
      </c>
      <c r="D25" s="3">
        <v>20000</v>
      </c>
      <c r="E25" s="2" t="s">
        <v>9</v>
      </c>
      <c r="F25" s="7" t="s">
        <v>118</v>
      </c>
      <c r="G25" s="7" t="s">
        <v>109</v>
      </c>
    </row>
    <row r="26" spans="1:7" x14ac:dyDescent="0.2">
      <c r="A26" s="2" t="s">
        <v>49</v>
      </c>
      <c r="B26" s="2" t="s">
        <v>51</v>
      </c>
      <c r="C26" s="3">
        <f>D26</f>
        <v>68000</v>
      </c>
      <c r="D26" s="3">
        <v>68000</v>
      </c>
      <c r="E26" s="2" t="s">
        <v>9</v>
      </c>
      <c r="F26" s="7" t="s">
        <v>118</v>
      </c>
      <c r="G26" s="7" t="s">
        <v>109</v>
      </c>
    </row>
    <row r="27" spans="1:7" x14ac:dyDescent="0.2">
      <c r="A27" s="2" t="s">
        <v>52</v>
      </c>
      <c r="B27" s="2" t="s">
        <v>53</v>
      </c>
      <c r="C27" s="3">
        <f>D27</f>
        <v>18000</v>
      </c>
      <c r="D27" s="3">
        <v>18000</v>
      </c>
      <c r="E27" s="2" t="s">
        <v>9</v>
      </c>
      <c r="F27" s="7" t="s">
        <v>118</v>
      </c>
      <c r="G27" s="7" t="s">
        <v>109</v>
      </c>
    </row>
    <row r="28" spans="1:7" x14ac:dyDescent="0.2">
      <c r="A28" s="2" t="s">
        <v>52</v>
      </c>
      <c r="B28" s="2" t="s">
        <v>54</v>
      </c>
      <c r="C28" s="3">
        <v>17618</v>
      </c>
      <c r="D28" s="3">
        <f>C28</f>
        <v>17618</v>
      </c>
      <c r="E28" s="2" t="s">
        <v>25</v>
      </c>
      <c r="F28" s="7" t="s">
        <v>102</v>
      </c>
      <c r="G28" s="7" t="s">
        <v>118</v>
      </c>
    </row>
    <row r="29" spans="1:7" x14ac:dyDescent="0.2">
      <c r="A29" s="2" t="s">
        <v>52</v>
      </c>
      <c r="B29" s="2" t="s">
        <v>55</v>
      </c>
      <c r="C29" s="3">
        <v>12500</v>
      </c>
      <c r="D29" s="3">
        <f t="shared" ref="D29:D31" si="4">C29</f>
        <v>12500</v>
      </c>
      <c r="E29" s="2" t="s">
        <v>19</v>
      </c>
      <c r="F29" s="7" t="s">
        <v>101</v>
      </c>
      <c r="G29" s="7" t="s">
        <v>118</v>
      </c>
    </row>
    <row r="30" spans="1:7" x14ac:dyDescent="0.2">
      <c r="A30" s="2" t="s">
        <v>56</v>
      </c>
      <c r="B30" s="2" t="s">
        <v>14</v>
      </c>
      <c r="C30" s="3">
        <v>20236</v>
      </c>
      <c r="D30" s="3">
        <f t="shared" si="4"/>
        <v>20236</v>
      </c>
      <c r="E30" s="2" t="s">
        <v>12</v>
      </c>
      <c r="F30" s="7" t="s">
        <v>99</v>
      </c>
      <c r="G30" s="7" t="s">
        <v>118</v>
      </c>
    </row>
    <row r="31" spans="1:7" x14ac:dyDescent="0.2">
      <c r="A31" s="2" t="s">
        <v>57</v>
      </c>
      <c r="B31" s="2" t="s">
        <v>11</v>
      </c>
      <c r="C31" s="3">
        <v>57846</v>
      </c>
      <c r="D31" s="3">
        <f t="shared" si="4"/>
        <v>57846</v>
      </c>
      <c r="E31" s="2" t="s">
        <v>12</v>
      </c>
      <c r="F31" s="7" t="s">
        <v>98</v>
      </c>
      <c r="G31" s="7" t="s">
        <v>118</v>
      </c>
    </row>
    <row r="32" spans="1:7" x14ac:dyDescent="0.2">
      <c r="A32" s="2" t="s">
        <v>58</v>
      </c>
      <c r="B32" s="2" t="s">
        <v>59</v>
      </c>
      <c r="C32" s="3">
        <f>D32</f>
        <v>29970</v>
      </c>
      <c r="D32" s="3">
        <v>29970</v>
      </c>
      <c r="E32" s="2" t="s">
        <v>9</v>
      </c>
      <c r="F32" s="7" t="s">
        <v>118</v>
      </c>
      <c r="G32" s="7" t="s">
        <v>109</v>
      </c>
    </row>
    <row r="33" spans="1:7" x14ac:dyDescent="0.2">
      <c r="A33" s="2" t="s">
        <v>60</v>
      </c>
      <c r="B33" s="2" t="s">
        <v>61</v>
      </c>
      <c r="C33" s="3">
        <f t="shared" ref="C33:C36" si="5">D33</f>
        <v>25000</v>
      </c>
      <c r="D33" s="3">
        <v>25000</v>
      </c>
      <c r="E33" s="2" t="s">
        <v>9</v>
      </c>
      <c r="F33" s="7" t="s">
        <v>118</v>
      </c>
      <c r="G33" s="7" t="s">
        <v>109</v>
      </c>
    </row>
    <row r="34" spans="1:7" x14ac:dyDescent="0.2">
      <c r="A34" s="2" t="s">
        <v>62</v>
      </c>
      <c r="B34" s="2" t="s">
        <v>63</v>
      </c>
      <c r="C34" s="3">
        <f t="shared" si="5"/>
        <v>5470</v>
      </c>
      <c r="D34" s="3">
        <v>5470</v>
      </c>
      <c r="E34" s="2" t="s">
        <v>9</v>
      </c>
      <c r="F34" s="7" t="s">
        <v>118</v>
      </c>
      <c r="G34" s="7" t="s">
        <v>109</v>
      </c>
    </row>
    <row r="35" spans="1:7" x14ac:dyDescent="0.2">
      <c r="A35" s="2" t="s">
        <v>64</v>
      </c>
      <c r="B35" s="2" t="s">
        <v>65</v>
      </c>
      <c r="C35" s="3">
        <f t="shared" si="5"/>
        <v>7500</v>
      </c>
      <c r="D35" s="3">
        <v>7500</v>
      </c>
      <c r="E35" s="2" t="s">
        <v>9</v>
      </c>
      <c r="F35" s="7" t="s">
        <v>118</v>
      </c>
      <c r="G35" s="7" t="s">
        <v>109</v>
      </c>
    </row>
    <row r="36" spans="1:7" x14ac:dyDescent="0.2">
      <c r="A36" s="4" t="s">
        <v>66</v>
      </c>
      <c r="B36" s="4" t="s">
        <v>67</v>
      </c>
      <c r="C36" s="3">
        <f t="shared" si="5"/>
        <v>12500</v>
      </c>
      <c r="D36" s="5">
        <v>12500</v>
      </c>
      <c r="E36" s="4" t="s">
        <v>19</v>
      </c>
      <c r="F36" s="7" t="s">
        <v>118</v>
      </c>
      <c r="G36" s="8" t="s">
        <v>109</v>
      </c>
    </row>
    <row r="37" spans="1:7" x14ac:dyDescent="0.2">
      <c r="A37" s="2" t="s">
        <v>66</v>
      </c>
      <c r="B37" s="2" t="s">
        <v>42</v>
      </c>
      <c r="C37" s="3">
        <v>15000</v>
      </c>
      <c r="D37" s="3">
        <f>C37</f>
        <v>15000</v>
      </c>
      <c r="E37" s="2" t="s">
        <v>19</v>
      </c>
      <c r="F37" s="7" t="s">
        <v>101</v>
      </c>
      <c r="G37" s="7" t="s">
        <v>118</v>
      </c>
    </row>
    <row r="38" spans="1:7" x14ac:dyDescent="0.2">
      <c r="A38" s="4" t="s">
        <v>66</v>
      </c>
      <c r="B38" s="4" t="s">
        <v>67</v>
      </c>
      <c r="C38" s="5">
        <f>D38</f>
        <v>12500</v>
      </c>
      <c r="D38" s="5">
        <v>12500</v>
      </c>
      <c r="E38" s="4" t="s">
        <v>9</v>
      </c>
      <c r="F38" s="7" t="s">
        <v>118</v>
      </c>
      <c r="G38" s="8" t="s">
        <v>109</v>
      </c>
    </row>
    <row r="39" spans="1:7" x14ac:dyDescent="0.2">
      <c r="A39" s="2" t="s">
        <v>66</v>
      </c>
      <c r="B39" s="2" t="s">
        <v>24</v>
      </c>
      <c r="C39" s="3">
        <v>400</v>
      </c>
      <c r="D39" s="3">
        <f>C39</f>
        <v>400</v>
      </c>
      <c r="E39" s="2" t="s">
        <v>25</v>
      </c>
      <c r="F39" s="7" t="s">
        <v>102</v>
      </c>
      <c r="G39" s="7" t="s">
        <v>118</v>
      </c>
    </row>
    <row r="40" spans="1:7" x14ac:dyDescent="0.2">
      <c r="A40" s="2" t="s">
        <v>66</v>
      </c>
      <c r="B40" s="2" t="s">
        <v>68</v>
      </c>
      <c r="C40" s="3">
        <v>251</v>
      </c>
      <c r="D40" s="3">
        <f t="shared" ref="D40:D41" si="6">C40</f>
        <v>251</v>
      </c>
      <c r="E40" s="2" t="s">
        <v>25</v>
      </c>
      <c r="F40" s="7" t="s">
        <v>102</v>
      </c>
      <c r="G40" s="7" t="s">
        <v>118</v>
      </c>
    </row>
    <row r="41" spans="1:7" x14ac:dyDescent="0.2">
      <c r="A41" s="2" t="s">
        <v>66</v>
      </c>
      <c r="B41" s="2" t="s">
        <v>11</v>
      </c>
      <c r="C41" s="3">
        <v>62481</v>
      </c>
      <c r="D41" s="3">
        <f t="shared" si="6"/>
        <v>62481</v>
      </c>
      <c r="E41" s="2" t="s">
        <v>12</v>
      </c>
      <c r="F41" s="7" t="s">
        <v>98</v>
      </c>
      <c r="G41" s="7" t="s">
        <v>118</v>
      </c>
    </row>
    <row r="42" spans="1:7" x14ac:dyDescent="0.2">
      <c r="A42" s="2" t="s">
        <v>69</v>
      </c>
      <c r="B42" s="2" t="s">
        <v>70</v>
      </c>
      <c r="C42" s="3">
        <f>D42</f>
        <v>11468</v>
      </c>
      <c r="D42" s="3">
        <v>11468</v>
      </c>
      <c r="E42" s="2" t="s">
        <v>9</v>
      </c>
      <c r="F42" s="7" t="s">
        <v>118</v>
      </c>
      <c r="G42" s="7" t="s">
        <v>109</v>
      </c>
    </row>
    <row r="43" spans="1:7" x14ac:dyDescent="0.2">
      <c r="A43" s="2" t="s">
        <v>69</v>
      </c>
      <c r="B43" s="2" t="s">
        <v>33</v>
      </c>
      <c r="C43" s="3">
        <f t="shared" ref="C43:C44" si="7">D43</f>
        <v>179970</v>
      </c>
      <c r="D43" s="3">
        <v>179970</v>
      </c>
      <c r="E43" s="2" t="s">
        <v>29</v>
      </c>
      <c r="F43" s="7" t="s">
        <v>118</v>
      </c>
      <c r="G43" s="7" t="s">
        <v>110</v>
      </c>
    </row>
    <row r="44" spans="1:7" x14ac:dyDescent="0.2">
      <c r="A44" s="2" t="s">
        <v>71</v>
      </c>
      <c r="B44" s="2" t="s">
        <v>72</v>
      </c>
      <c r="C44" s="3">
        <f t="shared" si="7"/>
        <v>6000</v>
      </c>
      <c r="D44" s="3">
        <v>6000</v>
      </c>
      <c r="E44" s="2" t="s">
        <v>9</v>
      </c>
      <c r="F44" s="7" t="s">
        <v>118</v>
      </c>
      <c r="G44" s="7" t="s">
        <v>109</v>
      </c>
    </row>
    <row r="45" spans="1:7" x14ac:dyDescent="0.2">
      <c r="A45" s="2" t="s">
        <v>71</v>
      </c>
      <c r="B45" s="2" t="s">
        <v>73</v>
      </c>
      <c r="C45" s="3">
        <v>180</v>
      </c>
      <c r="D45" s="3">
        <f>C45</f>
        <v>180</v>
      </c>
      <c r="E45" s="2" t="s">
        <v>22</v>
      </c>
      <c r="F45" s="7" t="s">
        <v>103</v>
      </c>
      <c r="G45" s="7" t="s">
        <v>118</v>
      </c>
    </row>
    <row r="46" spans="1:7" x14ac:dyDescent="0.2">
      <c r="A46" s="2" t="s">
        <v>74</v>
      </c>
      <c r="B46" s="2" t="s">
        <v>75</v>
      </c>
      <c r="C46" s="3">
        <f>D46</f>
        <v>24000</v>
      </c>
      <c r="D46" s="3">
        <v>24000</v>
      </c>
      <c r="E46" s="2" t="s">
        <v>9</v>
      </c>
      <c r="F46" s="7" t="s">
        <v>118</v>
      </c>
      <c r="G46" s="7" t="s">
        <v>109</v>
      </c>
    </row>
    <row r="47" spans="1:7" x14ac:dyDescent="0.2">
      <c r="A47" s="2" t="s">
        <v>76</v>
      </c>
      <c r="B47" s="2" t="s">
        <v>77</v>
      </c>
      <c r="C47" s="3">
        <f t="shared" ref="C47:C52" si="8">D47</f>
        <v>30000</v>
      </c>
      <c r="D47" s="3">
        <v>30000</v>
      </c>
      <c r="E47" s="2" t="s">
        <v>9</v>
      </c>
      <c r="F47" s="7" t="s">
        <v>118</v>
      </c>
      <c r="G47" s="7" t="s">
        <v>109</v>
      </c>
    </row>
    <row r="48" spans="1:7" x14ac:dyDescent="0.2">
      <c r="A48" s="2" t="s">
        <v>78</v>
      </c>
      <c r="B48" s="2" t="s">
        <v>79</v>
      </c>
      <c r="C48" s="3">
        <f t="shared" si="8"/>
        <v>73500</v>
      </c>
      <c r="D48" s="3">
        <v>73500</v>
      </c>
      <c r="E48" s="2" t="s">
        <v>80</v>
      </c>
      <c r="F48" s="7" t="s">
        <v>118</v>
      </c>
      <c r="G48" s="7" t="s">
        <v>111</v>
      </c>
    </row>
    <row r="49" spans="1:7" x14ac:dyDescent="0.2">
      <c r="A49" s="2" t="s">
        <v>78</v>
      </c>
      <c r="B49" s="2" t="s">
        <v>81</v>
      </c>
      <c r="C49" s="3">
        <f t="shared" si="8"/>
        <v>394500</v>
      </c>
      <c r="D49" s="3">
        <v>394500</v>
      </c>
      <c r="E49" s="2" t="s">
        <v>80</v>
      </c>
      <c r="F49" s="7" t="s">
        <v>118</v>
      </c>
      <c r="G49" s="7" t="s">
        <v>111</v>
      </c>
    </row>
    <row r="50" spans="1:7" x14ac:dyDescent="0.2">
      <c r="A50" s="2" t="s">
        <v>78</v>
      </c>
      <c r="B50" s="2" t="s">
        <v>82</v>
      </c>
      <c r="C50" s="3">
        <f t="shared" si="8"/>
        <v>728999</v>
      </c>
      <c r="D50" s="3">
        <v>728999</v>
      </c>
      <c r="E50" s="2" t="s">
        <v>80</v>
      </c>
      <c r="F50" s="7" t="s">
        <v>118</v>
      </c>
      <c r="G50" s="7" t="s">
        <v>112</v>
      </c>
    </row>
    <row r="51" spans="1:7" x14ac:dyDescent="0.2">
      <c r="A51" s="2" t="s">
        <v>78</v>
      </c>
      <c r="B51" s="2" t="s">
        <v>83</v>
      </c>
      <c r="C51" s="3">
        <f t="shared" si="8"/>
        <v>6336001</v>
      </c>
      <c r="D51" s="3">
        <v>6336001</v>
      </c>
      <c r="E51" s="2" t="s">
        <v>80</v>
      </c>
      <c r="F51" s="7" t="s">
        <v>118</v>
      </c>
      <c r="G51" s="7" t="s">
        <v>113</v>
      </c>
    </row>
    <row r="52" spans="1:7" x14ac:dyDescent="0.2">
      <c r="A52" s="2" t="s">
        <v>78</v>
      </c>
      <c r="B52" s="2" t="s">
        <v>84</v>
      </c>
      <c r="C52" s="3">
        <f t="shared" si="8"/>
        <v>7466995</v>
      </c>
      <c r="D52" s="3">
        <v>7466995</v>
      </c>
      <c r="E52" s="2" t="s">
        <v>80</v>
      </c>
      <c r="F52" s="7" t="s">
        <v>118</v>
      </c>
      <c r="G52" s="7" t="s">
        <v>111</v>
      </c>
    </row>
    <row r="53" spans="1:7" x14ac:dyDescent="0.2">
      <c r="A53" s="2" t="s">
        <v>85</v>
      </c>
      <c r="B53" s="2" t="s">
        <v>28</v>
      </c>
      <c r="C53" s="3">
        <v>300000</v>
      </c>
      <c r="D53" s="3">
        <f>C53</f>
        <v>300000</v>
      </c>
      <c r="E53" s="2" t="s">
        <v>29</v>
      </c>
      <c r="F53" s="7" t="s">
        <v>104</v>
      </c>
      <c r="G53" s="7" t="s">
        <v>118</v>
      </c>
    </row>
    <row r="54" spans="1:7" x14ac:dyDescent="0.2">
      <c r="A54" s="2" t="s">
        <v>85</v>
      </c>
      <c r="B54" s="2" t="s">
        <v>68</v>
      </c>
      <c r="C54" s="3">
        <v>100</v>
      </c>
      <c r="D54" s="3">
        <f t="shared" ref="D54:D55" si="9">C54</f>
        <v>100</v>
      </c>
      <c r="E54" s="2" t="s">
        <v>86</v>
      </c>
      <c r="F54" s="7" t="s">
        <v>108</v>
      </c>
      <c r="G54" s="7" t="s">
        <v>118</v>
      </c>
    </row>
    <row r="55" spans="1:7" x14ac:dyDescent="0.2">
      <c r="A55" s="2" t="s">
        <v>85</v>
      </c>
      <c r="B55" s="2" t="s">
        <v>14</v>
      </c>
      <c r="C55" s="3">
        <v>20734</v>
      </c>
      <c r="D55" s="3">
        <f t="shared" si="9"/>
        <v>20734</v>
      </c>
      <c r="E55" s="2" t="s">
        <v>12</v>
      </c>
      <c r="F55" s="7" t="s">
        <v>99</v>
      </c>
      <c r="G55" s="7" t="s">
        <v>118</v>
      </c>
    </row>
    <row r="56" spans="1:7" x14ac:dyDescent="0.2">
      <c r="A56" s="2" t="s">
        <v>87</v>
      </c>
      <c r="B56" s="2" t="s">
        <v>88</v>
      </c>
      <c r="C56" s="3">
        <f>D56</f>
        <v>64500</v>
      </c>
      <c r="D56" s="3">
        <v>64500</v>
      </c>
      <c r="E56" s="2" t="s">
        <v>9</v>
      </c>
      <c r="F56" s="7" t="s">
        <v>118</v>
      </c>
      <c r="G56" s="7" t="s">
        <v>109</v>
      </c>
    </row>
    <row r="57" spans="1:7" x14ac:dyDescent="0.2">
      <c r="A57" s="2" t="s">
        <v>87</v>
      </c>
      <c r="B57" s="2" t="s">
        <v>89</v>
      </c>
      <c r="C57" s="3">
        <f>D57</f>
        <v>3000000</v>
      </c>
      <c r="D57" s="3">
        <v>3000000</v>
      </c>
      <c r="E57" s="2" t="s">
        <v>80</v>
      </c>
      <c r="F57" s="7" t="s">
        <v>118</v>
      </c>
      <c r="G57" s="7" t="s">
        <v>114</v>
      </c>
    </row>
    <row r="58" spans="1:7" x14ac:dyDescent="0.2">
      <c r="A58" s="2" t="s">
        <v>90</v>
      </c>
      <c r="B58" s="2" t="s">
        <v>11</v>
      </c>
      <c r="C58" s="3">
        <v>58946</v>
      </c>
      <c r="D58" s="3">
        <f>C58</f>
        <v>58946</v>
      </c>
      <c r="E58" s="2" t="s">
        <v>12</v>
      </c>
      <c r="F58" s="7" t="s">
        <v>98</v>
      </c>
      <c r="G58" s="7" t="s">
        <v>118</v>
      </c>
    </row>
    <row r="59" spans="1:7" x14ac:dyDescent="0.2">
      <c r="A59" s="2" t="s">
        <v>90</v>
      </c>
      <c r="B59" s="2" t="s">
        <v>91</v>
      </c>
      <c r="C59" s="3">
        <f>D59</f>
        <v>36000</v>
      </c>
      <c r="D59" s="3">
        <v>36000</v>
      </c>
      <c r="E59" s="2" t="s">
        <v>9</v>
      </c>
      <c r="F59" s="7" t="s">
        <v>118</v>
      </c>
      <c r="G59" s="7" t="s">
        <v>109</v>
      </c>
    </row>
    <row r="60" spans="1:7" x14ac:dyDescent="0.2">
      <c r="A60" s="2" t="s">
        <v>90</v>
      </c>
      <c r="B60" s="2" t="s">
        <v>92</v>
      </c>
      <c r="C60" s="3">
        <f t="shared" ref="C60:C63" si="10">D60</f>
        <v>3318</v>
      </c>
      <c r="D60" s="3">
        <v>3318</v>
      </c>
      <c r="E60" s="2" t="s">
        <v>9</v>
      </c>
      <c r="F60" s="7" t="s">
        <v>118</v>
      </c>
      <c r="G60" s="7" t="s">
        <v>109</v>
      </c>
    </row>
    <row r="61" spans="1:7" x14ac:dyDescent="0.2">
      <c r="A61" s="2" t="s">
        <v>90</v>
      </c>
      <c r="B61" s="2" t="s">
        <v>93</v>
      </c>
      <c r="C61" s="3">
        <f t="shared" si="10"/>
        <v>160461</v>
      </c>
      <c r="D61" s="3">
        <v>160461</v>
      </c>
      <c r="E61" s="2" t="s">
        <v>80</v>
      </c>
      <c r="F61" s="7" t="s">
        <v>118</v>
      </c>
      <c r="G61" s="7" t="s">
        <v>115</v>
      </c>
    </row>
    <row r="62" spans="1:7" x14ac:dyDescent="0.2">
      <c r="A62" s="2" t="s">
        <v>90</v>
      </c>
      <c r="B62" s="2" t="s">
        <v>94</v>
      </c>
      <c r="C62" s="3">
        <f t="shared" si="10"/>
        <v>291750</v>
      </c>
      <c r="D62" s="3">
        <v>291750</v>
      </c>
      <c r="E62" s="2" t="s">
        <v>80</v>
      </c>
      <c r="F62" s="7" t="s">
        <v>118</v>
      </c>
      <c r="G62" s="7" t="s">
        <v>116</v>
      </c>
    </row>
    <row r="63" spans="1:7" x14ac:dyDescent="0.2">
      <c r="A63" s="2" t="s">
        <v>90</v>
      </c>
      <c r="B63" s="2" t="s">
        <v>95</v>
      </c>
      <c r="C63" s="3">
        <f t="shared" si="10"/>
        <v>1547794</v>
      </c>
      <c r="D63" s="3">
        <v>1547794</v>
      </c>
      <c r="E63" s="2" t="s">
        <v>80</v>
      </c>
      <c r="F63" s="7" t="s">
        <v>118</v>
      </c>
      <c r="G63" s="7" t="s">
        <v>117</v>
      </c>
    </row>
    <row r="64" spans="1:7" x14ac:dyDescent="0.2">
      <c r="A64" s="2" t="s">
        <v>90</v>
      </c>
      <c r="B64" s="2" t="s">
        <v>96</v>
      </c>
      <c r="C64" s="3">
        <v>50000</v>
      </c>
      <c r="D64" s="3">
        <f>C64</f>
        <v>50000</v>
      </c>
      <c r="E64" s="2" t="s">
        <v>25</v>
      </c>
      <c r="F64" s="7" t="s">
        <v>102</v>
      </c>
      <c r="G64" s="7" t="s">
        <v>118</v>
      </c>
    </row>
    <row r="65" spans="1:7" x14ac:dyDescent="0.2">
      <c r="A65" s="2" t="s">
        <v>90</v>
      </c>
      <c r="B65" s="2" t="s">
        <v>97</v>
      </c>
      <c r="C65" s="2">
        <v>0.01</v>
      </c>
      <c r="D65" s="2">
        <f>C65</f>
        <v>0.01</v>
      </c>
      <c r="E65" s="2" t="s">
        <v>22</v>
      </c>
      <c r="F65" s="7" t="s">
        <v>103</v>
      </c>
      <c r="G65" s="7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Transactions</vt:lpstr>
      <vt:lpstr>VALLEYTRANS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2026-01-26T12:21:07Z</dcterms:created>
  <dcterms:modified xsi:type="dcterms:W3CDTF">2026-01-26T12:39:42Z</dcterms:modified>
</cp:coreProperties>
</file>