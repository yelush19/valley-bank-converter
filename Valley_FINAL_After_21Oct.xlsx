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valley-bank-converter\"/>
    </mc:Choice>
  </mc:AlternateContent>
  <xr:revisionPtr revIDLastSave="0" documentId="8_{BF93926F-6C44-4516-B3D4-19514984FE67}" xr6:coauthVersionLast="47" xr6:coauthVersionMax="47" xr10:uidLastSave="{00000000-0000-0000-0000-000000000000}"/>
  <bookViews>
    <workbookView xWindow="28680" yWindow="-120" windowWidth="29040" windowHeight="15720" xr2:uid="{740260BF-1A8D-4279-B069-A859B0F0E7C6}"/>
  </bookViews>
  <sheets>
    <sheet name="Valley_FINAL_After_21Oct" sheetId="1" r:id="rId1"/>
  </sheets>
  <definedNames>
    <definedName name="VALLEY">Valley_FINAL_After_21Oct!$A$1:$F$60</definedName>
  </definedNames>
  <calcPr calcId="0"/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3" i="1"/>
  <c r="F2" i="1"/>
</calcChain>
</file>

<file path=xl/sharedStrings.xml><?xml version="1.0" encoding="utf-8"?>
<sst xmlns="http://schemas.openxmlformats.org/spreadsheetml/2006/main" count="77" uniqueCount="74">
  <si>
    <t>תאריך</t>
  </si>
  <si>
    <t>תיאור</t>
  </si>
  <si>
    <t>אסמכתא</t>
  </si>
  <si>
    <t>חובה</t>
  </si>
  <si>
    <t>זכות</t>
  </si>
  <si>
    <t xml:space="preserve">FISHER INVESTMEN  INV-254000                 </t>
  </si>
  <si>
    <t xml:space="preserve">NATIONAL EMPLOYE  INVOICE           251029   </t>
  </si>
  <si>
    <t xml:space="preserve">Deel, Inc.        Deel Inc.         251030   </t>
  </si>
  <si>
    <t>DAVID EDELMAN     SENDER            771305454</t>
  </si>
  <si>
    <t>202506110000937   SOFWAVE MEDICAL LTD</t>
  </si>
  <si>
    <t>202506110016386   ALISON NATHAN</t>
  </si>
  <si>
    <t>NSKNOX TECHNOLOG  PAYMENTS          250911051</t>
  </si>
  <si>
    <t>WISE US INC       2540000056        From Inma</t>
  </si>
  <si>
    <t>INV-2540000056</t>
  </si>
  <si>
    <t>MMS AS PAYCO6366  EDI PAYMNT        REF*TN*25</t>
  </si>
  <si>
    <t>IN2540000028</t>
  </si>
  <si>
    <t xml:space="preserve">IRS USER FEE      PAYMENT           251113   </t>
  </si>
  <si>
    <t>202511170002760   ANDREW BLOOM CONSULTING LLC</t>
  </si>
  <si>
    <t xml:space="preserve">202511170002778   CONNEXUS LIMITED           </t>
  </si>
  <si>
    <t>ANALYSIS ACTIVITY                    FOR 10/2</t>
  </si>
  <si>
    <t xml:space="preserve">202511190000619   HUBSPOT, INC               </t>
  </si>
  <si>
    <t xml:space="preserve">202511190000618   ATASH LAW P.C.             </t>
  </si>
  <si>
    <t>LOGMEIN           11.19.2025        RMR*IK*IN</t>
  </si>
  <si>
    <t xml:space="preserve">202511210000794   LEO BURNETT LIMITED        </t>
  </si>
  <si>
    <t>INV-2540000068</t>
  </si>
  <si>
    <t>BRANDLIGHT LTD    PUBLIC REL        251125001</t>
  </si>
  <si>
    <t xml:space="preserve">Teneo Strategy L  USSC 11.21        251124   </t>
  </si>
  <si>
    <t xml:space="preserve"> INV-2540000043</t>
  </si>
  <si>
    <t xml:space="preserve">202511250006048   ARNON,TADMOR-LEVY          </t>
  </si>
  <si>
    <t xml:space="preserve">Deel, Inc.        Deel Inc.         251126   </t>
  </si>
  <si>
    <t xml:space="preserve">NATIONAL EMPLOYE  INVOICE           251127   </t>
  </si>
  <si>
    <t>Google LLC        ACCTVERIFY        250812064</t>
  </si>
  <si>
    <t>202509120000655   NATIONAL EMPLOYER SERVICES,</t>
  </si>
  <si>
    <t>202509120023384   NATIONAL EMPLOYER SERVICES,</t>
  </si>
  <si>
    <t>202511120001515   BRANDLIGHT AI LTD</t>
  </si>
  <si>
    <t xml:space="preserve">NATIONAL EMPLOYE  INVOICE           251112   </t>
  </si>
  <si>
    <t xml:space="preserve">202511120004018   SAS CADOA                  </t>
  </si>
  <si>
    <t>DEAL# 1449182</t>
  </si>
  <si>
    <t xml:space="preserve">NATIONAL EMPLOYE  INVOICE           251212   </t>
  </si>
  <si>
    <t xml:space="preserve">202512120015895   XVERUM LLC                 </t>
  </si>
  <si>
    <t>202512120015894   PHILIP STEIN AND ASSOCIATES</t>
  </si>
  <si>
    <t>202512120015893   ANDREW BLOOM CONSULTING LLC</t>
  </si>
  <si>
    <t xml:space="preserve">202512120000975   SOFWAVE MEDICAL LTD        </t>
  </si>
  <si>
    <t>INV-2540000034</t>
  </si>
  <si>
    <t>202512150001839   DAVID SHIELD - PASSPORTCARD</t>
  </si>
  <si>
    <t>INV-2540000049</t>
  </si>
  <si>
    <t>202512150001590   BRANDLIGHT AI LTD</t>
  </si>
  <si>
    <t xml:space="preserve">202512160000060   1/ZYG EDGE LTD             </t>
  </si>
  <si>
    <t>TO UPDATE</t>
  </si>
  <si>
    <t>ANALYSIS ACTIVITY                    FOR 11/2</t>
  </si>
  <si>
    <t xml:space="preserve">202512220022108   TENEO STRATEGY LIMITED     </t>
  </si>
  <si>
    <t>IN2540000025  +  INV-2540000063</t>
  </si>
  <si>
    <t xml:space="preserve">DATA AXLE         PJP ACH 12        251223   </t>
  </si>
  <si>
    <t>INV-2540000013</t>
  </si>
  <si>
    <t xml:space="preserve">202512260018196   PELION VENTURES VIII, L.P. </t>
  </si>
  <si>
    <t>202512260018536   PELION VENTURES VIII FINANC</t>
  </si>
  <si>
    <t>202512260018197   PELION VENTURES VIII - ENTR</t>
  </si>
  <si>
    <t>202512260018198   PELION VENTURES VIII-C, L.P</t>
  </si>
  <si>
    <t>202512260018195   PELION VENTURES VIII-A, L.P</t>
  </si>
  <si>
    <t xml:space="preserve">202512290002823   PAYEM CSMRS PRGM FUNDING   </t>
  </si>
  <si>
    <t xml:space="preserve">202512290003170   XVERUM LLC                 </t>
  </si>
  <si>
    <t xml:space="preserve">Deel, Inc.        Deel Inc.         251229   </t>
  </si>
  <si>
    <t xml:space="preserve">HARTFORD FIRE IN  TRADE EXC         251230   </t>
  </si>
  <si>
    <t xml:space="preserve">202512300017687   G20 VENTURES IV LP         </t>
  </si>
  <si>
    <t>202601050004403   CARDUMEN DEEPTECH FUND II F</t>
  </si>
  <si>
    <t>202601050004397   CARDUMEN DEEPTECH II A SCR-</t>
  </si>
  <si>
    <t>202601050004399   CARDUMEN DEEPTECH II ILS SC</t>
  </si>
  <si>
    <t xml:space="preserve">202601070000745   MAYER BROWN LLP            </t>
  </si>
  <si>
    <t>Deposit</t>
  </si>
  <si>
    <t>IN2540000030</t>
  </si>
  <si>
    <t xml:space="preserve">NATIONAL EMPLOYE  INVOICE           251231   </t>
  </si>
  <si>
    <t>202601050000914   LLORENTE   CUENCA MADRID SL</t>
  </si>
  <si>
    <t xml:space="preserve">GOOGLE            ACCTVERIFY        260108   </t>
  </si>
  <si>
    <t>יתרה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</si>
</sst>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DF67-DBD5-41D4-8983-B84E35D9EBCB}">
  <dimension ref="A1:F60"/>
  <sheetViews>
    <sheetView rightToLeft="1" tabSelected="1" topLeftCell="A42" workbookViewId="0">
      <selection activeCell="F60" sqref="A1:F60"/>
    </sheetView>
  </sheetViews>
  <sheetFormatPr defaultRowHeight="14.25" x14ac:dyDescent="0.2"/>
  <cols>
    <col min="1" max="1" width="9.875" bestFit="1" customWidth="1"/>
    <col min="2" max="2" width="50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</v>
      </c>
    </row>
    <row r="2" spans="1:6" x14ac:dyDescent="0.2">
      <c r="A2" s="1">
        <v>45954</v>
      </c>
      <c r="B2" t="s">
        <v>5</v>
      </c>
      <c r="E2">
        <v>36000</v>
      </c>
      <c r="F2">
        <f>E2</f>
        <v>36000</v>
      </c>
    </row>
    <row r="3" spans="1:6" x14ac:dyDescent="0.2">
      <c r="A3" s="1">
        <v>45959</v>
      </c>
      <c r="B3" t="s">
        <v>6</v>
      </c>
      <c r="D3">
        <v>50147.11</v>
      </c>
      <c r="F3">
        <f>F2-D3+E3</f>
        <v>-14147.11</v>
      </c>
    </row>
    <row r="4" spans="1:6" x14ac:dyDescent="0.2">
      <c r="A4" s="1">
        <v>45960</v>
      </c>
      <c r="B4" t="s">
        <v>7</v>
      </c>
      <c r="D4">
        <v>21347.11</v>
      </c>
      <c r="F4">
        <f t="shared" ref="F4:F60" si="0">F3-D4+E4</f>
        <v>-35494.22</v>
      </c>
    </row>
    <row r="5" spans="1:6" x14ac:dyDescent="0.2">
      <c r="A5" s="1">
        <v>45963</v>
      </c>
      <c r="B5" t="s">
        <v>8</v>
      </c>
      <c r="E5">
        <v>25000</v>
      </c>
      <c r="F5">
        <f t="shared" si="0"/>
        <v>-10494.220000000001</v>
      </c>
    </row>
    <row r="6" spans="1:6" x14ac:dyDescent="0.2">
      <c r="A6" s="1">
        <v>45967</v>
      </c>
      <c r="B6" t="s">
        <v>9</v>
      </c>
      <c r="E6">
        <v>12500</v>
      </c>
      <c r="F6">
        <f t="shared" si="0"/>
        <v>2005.7799999999988</v>
      </c>
    </row>
    <row r="7" spans="1:6" x14ac:dyDescent="0.2">
      <c r="A7" s="1">
        <v>45967</v>
      </c>
      <c r="B7" t="s">
        <v>10</v>
      </c>
      <c r="D7">
        <v>14696.15</v>
      </c>
      <c r="F7">
        <f t="shared" si="0"/>
        <v>-12690.37</v>
      </c>
    </row>
    <row r="8" spans="1:6" x14ac:dyDescent="0.2">
      <c r="A8" s="1">
        <v>45970</v>
      </c>
      <c r="B8" t="s">
        <v>11</v>
      </c>
      <c r="E8">
        <v>1.6</v>
      </c>
      <c r="F8">
        <f t="shared" si="0"/>
        <v>-12688.77</v>
      </c>
    </row>
    <row r="9" spans="1:6" x14ac:dyDescent="0.2">
      <c r="A9" s="1">
        <v>45973</v>
      </c>
      <c r="B9" t="s">
        <v>12</v>
      </c>
      <c r="C9" t="s">
        <v>13</v>
      </c>
      <c r="E9">
        <v>7500</v>
      </c>
      <c r="F9">
        <f t="shared" si="0"/>
        <v>-5188.7700000000004</v>
      </c>
    </row>
    <row r="10" spans="1:6" x14ac:dyDescent="0.2">
      <c r="A10" s="1">
        <v>45974</v>
      </c>
      <c r="B10" t="s">
        <v>14</v>
      </c>
      <c r="C10" t="s">
        <v>15</v>
      </c>
      <c r="E10">
        <v>2000</v>
      </c>
      <c r="F10">
        <f t="shared" si="0"/>
        <v>-3188.7700000000004</v>
      </c>
    </row>
    <row r="11" spans="1:6" x14ac:dyDescent="0.2">
      <c r="A11" s="1">
        <v>45974</v>
      </c>
      <c r="B11" t="s">
        <v>16</v>
      </c>
      <c r="D11">
        <v>185</v>
      </c>
      <c r="F11">
        <f t="shared" si="0"/>
        <v>-3373.7700000000004</v>
      </c>
    </row>
    <row r="12" spans="1:6" x14ac:dyDescent="0.2">
      <c r="A12" s="1">
        <v>45978</v>
      </c>
      <c r="B12" t="s">
        <v>17</v>
      </c>
      <c r="D12">
        <v>15000</v>
      </c>
      <c r="F12">
        <f t="shared" si="0"/>
        <v>-18373.77</v>
      </c>
    </row>
    <row r="13" spans="1:6" x14ac:dyDescent="0.2">
      <c r="A13" s="1">
        <v>45978</v>
      </c>
      <c r="B13" t="s">
        <v>18</v>
      </c>
      <c r="D13">
        <v>6743.25</v>
      </c>
      <c r="F13">
        <f t="shared" si="0"/>
        <v>-25117.02</v>
      </c>
    </row>
    <row r="14" spans="1:6" x14ac:dyDescent="0.2">
      <c r="A14" s="1">
        <v>45978</v>
      </c>
      <c r="B14" t="s">
        <v>19</v>
      </c>
      <c r="D14">
        <v>70.88</v>
      </c>
      <c r="F14">
        <f t="shared" si="0"/>
        <v>-25187.9</v>
      </c>
    </row>
    <row r="15" spans="1:6" x14ac:dyDescent="0.2">
      <c r="A15" s="1">
        <v>45980</v>
      </c>
      <c r="B15" t="s">
        <v>20</v>
      </c>
      <c r="D15">
        <v>2151</v>
      </c>
      <c r="F15">
        <f t="shared" si="0"/>
        <v>-27338.9</v>
      </c>
    </row>
    <row r="16" spans="1:6" x14ac:dyDescent="0.2">
      <c r="A16" s="1">
        <v>45980</v>
      </c>
      <c r="B16" t="s">
        <v>21</v>
      </c>
      <c r="D16">
        <v>3000</v>
      </c>
      <c r="F16">
        <f t="shared" si="0"/>
        <v>-30338.9</v>
      </c>
    </row>
    <row r="17" spans="1:6" x14ac:dyDescent="0.2">
      <c r="A17" s="1">
        <v>45982</v>
      </c>
      <c r="B17" t="s">
        <v>22</v>
      </c>
      <c r="E17">
        <v>20000</v>
      </c>
      <c r="F17">
        <f t="shared" si="0"/>
        <v>-10338.900000000001</v>
      </c>
    </row>
    <row r="18" spans="1:6" x14ac:dyDescent="0.2">
      <c r="A18" s="1">
        <v>45982</v>
      </c>
      <c r="B18" t="s">
        <v>23</v>
      </c>
      <c r="C18" t="s">
        <v>24</v>
      </c>
      <c r="E18">
        <v>68000</v>
      </c>
      <c r="F18">
        <f t="shared" si="0"/>
        <v>57661.1</v>
      </c>
    </row>
    <row r="19" spans="1:6" x14ac:dyDescent="0.2">
      <c r="A19" s="1">
        <v>45986</v>
      </c>
      <c r="B19" t="s">
        <v>25</v>
      </c>
      <c r="D19">
        <v>12500</v>
      </c>
      <c r="F19">
        <f t="shared" si="0"/>
        <v>45161.1</v>
      </c>
    </row>
    <row r="20" spans="1:6" x14ac:dyDescent="0.2">
      <c r="A20" s="1">
        <v>45986</v>
      </c>
      <c r="B20" t="s">
        <v>26</v>
      </c>
      <c r="C20" t="s">
        <v>27</v>
      </c>
      <c r="E20">
        <v>18000</v>
      </c>
      <c r="F20">
        <f t="shared" si="0"/>
        <v>63161.1</v>
      </c>
    </row>
    <row r="21" spans="1:6" x14ac:dyDescent="0.2">
      <c r="A21" s="1">
        <v>45986</v>
      </c>
      <c r="B21" t="s">
        <v>28</v>
      </c>
      <c r="D21">
        <v>17617.5</v>
      </c>
      <c r="F21">
        <f t="shared" si="0"/>
        <v>45543.6</v>
      </c>
    </row>
    <row r="22" spans="1:6" x14ac:dyDescent="0.2">
      <c r="A22" s="1">
        <v>45987</v>
      </c>
      <c r="B22" t="s">
        <v>29</v>
      </c>
      <c r="D22">
        <v>20235.599999999999</v>
      </c>
      <c r="F22">
        <f t="shared" si="0"/>
        <v>25308</v>
      </c>
    </row>
    <row r="23" spans="1:6" x14ac:dyDescent="0.2">
      <c r="A23" s="1">
        <v>45989</v>
      </c>
      <c r="B23" t="s">
        <v>30</v>
      </c>
      <c r="D23">
        <v>57846.41</v>
      </c>
      <c r="F23">
        <f t="shared" si="0"/>
        <v>-32538.410000000003</v>
      </c>
    </row>
    <row r="24" spans="1:6" x14ac:dyDescent="0.2">
      <c r="A24" s="1">
        <v>45999</v>
      </c>
      <c r="B24" t="s">
        <v>31</v>
      </c>
      <c r="E24">
        <v>0.01</v>
      </c>
      <c r="F24">
        <f t="shared" si="0"/>
        <v>-32538.400000000005</v>
      </c>
    </row>
    <row r="25" spans="1:6" x14ac:dyDescent="0.2">
      <c r="A25" s="1">
        <v>46000</v>
      </c>
      <c r="B25" t="s">
        <v>32</v>
      </c>
      <c r="D25">
        <v>15208.33</v>
      </c>
      <c r="F25">
        <f t="shared" si="0"/>
        <v>-47746.73</v>
      </c>
    </row>
    <row r="26" spans="1:6" x14ac:dyDescent="0.2">
      <c r="A26" s="1">
        <v>46000</v>
      </c>
      <c r="B26" t="s">
        <v>33</v>
      </c>
      <c r="D26">
        <v>1968.94</v>
      </c>
      <c r="F26">
        <f t="shared" si="0"/>
        <v>-49715.670000000006</v>
      </c>
    </row>
    <row r="27" spans="1:6" x14ac:dyDescent="0.2">
      <c r="A27" s="1">
        <v>46002</v>
      </c>
      <c r="B27" t="s">
        <v>34</v>
      </c>
      <c r="E27">
        <v>99970</v>
      </c>
      <c r="F27">
        <f t="shared" si="0"/>
        <v>50254.329999999994</v>
      </c>
    </row>
    <row r="28" spans="1:6" x14ac:dyDescent="0.2">
      <c r="A28" s="1">
        <v>46002</v>
      </c>
      <c r="B28" t="s">
        <v>35</v>
      </c>
      <c r="D28">
        <v>44612.11</v>
      </c>
      <c r="F28">
        <f t="shared" si="0"/>
        <v>5642.2199999999939</v>
      </c>
    </row>
    <row r="29" spans="1:6" x14ac:dyDescent="0.2">
      <c r="A29" s="1">
        <v>46002</v>
      </c>
      <c r="B29" t="s">
        <v>36</v>
      </c>
      <c r="D29">
        <v>2691.6</v>
      </c>
      <c r="F29">
        <f t="shared" si="0"/>
        <v>2950.619999999994</v>
      </c>
    </row>
    <row r="30" spans="1:6" x14ac:dyDescent="0.2">
      <c r="A30" s="1">
        <v>46002</v>
      </c>
      <c r="B30" t="s">
        <v>37</v>
      </c>
      <c r="D30">
        <v>15000</v>
      </c>
      <c r="F30">
        <f t="shared" si="0"/>
        <v>-12049.380000000006</v>
      </c>
    </row>
    <row r="31" spans="1:6" x14ac:dyDescent="0.2">
      <c r="A31" s="1">
        <v>46003</v>
      </c>
      <c r="B31" t="s">
        <v>38</v>
      </c>
      <c r="D31">
        <v>62480.72</v>
      </c>
      <c r="F31">
        <f t="shared" si="0"/>
        <v>-74530.100000000006</v>
      </c>
    </row>
    <row r="32" spans="1:6" x14ac:dyDescent="0.2">
      <c r="A32" s="1">
        <v>46003</v>
      </c>
      <c r="B32" t="s">
        <v>39</v>
      </c>
      <c r="D32">
        <v>251</v>
      </c>
      <c r="F32">
        <f t="shared" si="0"/>
        <v>-74781.100000000006</v>
      </c>
    </row>
    <row r="33" spans="1:6" x14ac:dyDescent="0.2">
      <c r="A33" s="1">
        <v>46003</v>
      </c>
      <c r="B33" t="s">
        <v>40</v>
      </c>
      <c r="D33">
        <v>400</v>
      </c>
      <c r="F33">
        <f t="shared" si="0"/>
        <v>-75181.100000000006</v>
      </c>
    </row>
    <row r="34" spans="1:6" x14ac:dyDescent="0.2">
      <c r="A34" s="1">
        <v>46003</v>
      </c>
      <c r="B34" t="s">
        <v>41</v>
      </c>
      <c r="D34">
        <v>15000</v>
      </c>
      <c r="F34">
        <f t="shared" si="0"/>
        <v>-90181.1</v>
      </c>
    </row>
    <row r="35" spans="1:6" x14ac:dyDescent="0.2">
      <c r="A35" s="1">
        <v>46003</v>
      </c>
      <c r="B35" t="s">
        <v>42</v>
      </c>
      <c r="E35">
        <v>12500</v>
      </c>
      <c r="F35">
        <f t="shared" si="0"/>
        <v>-77681.100000000006</v>
      </c>
    </row>
    <row r="36" spans="1:6" x14ac:dyDescent="0.2">
      <c r="A36" s="1">
        <v>46003</v>
      </c>
      <c r="B36" t="s">
        <v>42</v>
      </c>
      <c r="C36" t="s">
        <v>43</v>
      </c>
      <c r="E36">
        <v>12500</v>
      </c>
      <c r="F36">
        <f t="shared" si="0"/>
        <v>-65181.100000000006</v>
      </c>
    </row>
    <row r="37" spans="1:6" x14ac:dyDescent="0.2">
      <c r="A37" s="1">
        <v>46006</v>
      </c>
      <c r="B37" t="s">
        <v>44</v>
      </c>
      <c r="C37" t="s">
        <v>45</v>
      </c>
      <c r="E37">
        <v>11468</v>
      </c>
      <c r="F37">
        <f t="shared" si="0"/>
        <v>-53713.100000000006</v>
      </c>
    </row>
    <row r="38" spans="1:6" x14ac:dyDescent="0.2">
      <c r="A38" s="1">
        <v>46006</v>
      </c>
      <c r="B38" t="s">
        <v>46</v>
      </c>
      <c r="E38">
        <v>179970</v>
      </c>
      <c r="F38">
        <f t="shared" si="0"/>
        <v>126256.9</v>
      </c>
    </row>
    <row r="39" spans="1:6" x14ac:dyDescent="0.2">
      <c r="A39" s="1">
        <v>46007</v>
      </c>
      <c r="B39" t="s">
        <v>47</v>
      </c>
      <c r="C39" t="s">
        <v>48</v>
      </c>
      <c r="E39">
        <v>6000</v>
      </c>
      <c r="F39">
        <f t="shared" si="0"/>
        <v>132256.9</v>
      </c>
    </row>
    <row r="40" spans="1:6" x14ac:dyDescent="0.2">
      <c r="A40" s="1">
        <v>46007</v>
      </c>
      <c r="B40" t="s">
        <v>49</v>
      </c>
      <c r="D40">
        <v>180.44</v>
      </c>
      <c r="F40">
        <f t="shared" si="0"/>
        <v>132076.46</v>
      </c>
    </row>
    <row r="41" spans="1:6" x14ac:dyDescent="0.2">
      <c r="A41" s="1">
        <v>46013</v>
      </c>
      <c r="B41" t="s">
        <v>50</v>
      </c>
      <c r="C41" t="s">
        <v>51</v>
      </c>
      <c r="E41">
        <v>24000</v>
      </c>
      <c r="F41">
        <f t="shared" si="0"/>
        <v>156076.46</v>
      </c>
    </row>
    <row r="42" spans="1:6" x14ac:dyDescent="0.2">
      <c r="A42" s="1">
        <v>46015</v>
      </c>
      <c r="B42" t="s">
        <v>52</v>
      </c>
      <c r="C42" t="s">
        <v>53</v>
      </c>
      <c r="E42">
        <v>30000</v>
      </c>
      <c r="F42">
        <f t="shared" si="0"/>
        <v>186076.46</v>
      </c>
    </row>
    <row r="43" spans="1:6" x14ac:dyDescent="0.2">
      <c r="A43" s="1">
        <v>46017</v>
      </c>
      <c r="B43" t="s">
        <v>54</v>
      </c>
      <c r="E43">
        <v>7466994.7800000003</v>
      </c>
      <c r="F43">
        <f t="shared" si="0"/>
        <v>7653071.2400000002</v>
      </c>
    </row>
    <row r="44" spans="1:6" x14ac:dyDescent="0.2">
      <c r="A44" s="1">
        <v>46017</v>
      </c>
      <c r="B44" t="s">
        <v>55</v>
      </c>
      <c r="E44">
        <v>6336001.3799999999</v>
      </c>
      <c r="F44">
        <f t="shared" si="0"/>
        <v>13989072.620000001</v>
      </c>
    </row>
    <row r="45" spans="1:6" x14ac:dyDescent="0.2">
      <c r="A45" s="1">
        <v>46017</v>
      </c>
      <c r="B45" t="s">
        <v>56</v>
      </c>
      <c r="E45">
        <v>728999.32</v>
      </c>
      <c r="F45">
        <f t="shared" si="0"/>
        <v>14718071.940000001</v>
      </c>
    </row>
    <row r="46" spans="1:6" x14ac:dyDescent="0.2">
      <c r="A46" s="1">
        <v>46017</v>
      </c>
      <c r="B46" t="s">
        <v>57</v>
      </c>
      <c r="E46">
        <v>394500.38</v>
      </c>
      <c r="F46">
        <f t="shared" si="0"/>
        <v>15112572.320000002</v>
      </c>
    </row>
    <row r="47" spans="1:6" x14ac:dyDescent="0.2">
      <c r="A47" s="1">
        <v>46017</v>
      </c>
      <c r="B47" t="s">
        <v>58</v>
      </c>
      <c r="E47">
        <v>73500.47</v>
      </c>
      <c r="F47">
        <f t="shared" si="0"/>
        <v>15186072.790000003</v>
      </c>
    </row>
    <row r="48" spans="1:6" x14ac:dyDescent="0.2">
      <c r="A48" s="1">
        <v>46020</v>
      </c>
      <c r="B48" t="s">
        <v>59</v>
      </c>
      <c r="D48">
        <v>300000</v>
      </c>
      <c r="F48">
        <f t="shared" si="0"/>
        <v>14886072.790000003</v>
      </c>
    </row>
    <row r="49" spans="1:6" x14ac:dyDescent="0.2">
      <c r="A49" s="1">
        <v>46020</v>
      </c>
      <c r="B49" t="s">
        <v>60</v>
      </c>
      <c r="D49">
        <v>100</v>
      </c>
      <c r="F49">
        <f t="shared" si="0"/>
        <v>14885972.790000003</v>
      </c>
    </row>
    <row r="50" spans="1:6" x14ac:dyDescent="0.2">
      <c r="A50" s="1">
        <v>46020</v>
      </c>
      <c r="B50" t="s">
        <v>61</v>
      </c>
      <c r="D50">
        <v>20734.330000000002</v>
      </c>
      <c r="F50">
        <f t="shared" si="0"/>
        <v>14865238.460000003</v>
      </c>
    </row>
    <row r="51" spans="1:6" x14ac:dyDescent="0.2">
      <c r="A51" s="1">
        <v>46021</v>
      </c>
      <c r="B51" t="s">
        <v>62</v>
      </c>
      <c r="C51" t="s">
        <v>48</v>
      </c>
      <c r="E51">
        <v>64500</v>
      </c>
      <c r="F51">
        <f t="shared" si="0"/>
        <v>14929738.460000003</v>
      </c>
    </row>
    <row r="52" spans="1:6" x14ac:dyDescent="0.2">
      <c r="A52" s="1">
        <v>46021</v>
      </c>
      <c r="B52" t="s">
        <v>63</v>
      </c>
      <c r="E52">
        <v>3000000</v>
      </c>
      <c r="F52">
        <f t="shared" si="0"/>
        <v>17929738.460000001</v>
      </c>
    </row>
    <row r="53" spans="1:6" x14ac:dyDescent="0.2">
      <c r="A53" s="1">
        <v>46022</v>
      </c>
      <c r="B53" t="s">
        <v>64</v>
      </c>
      <c r="E53">
        <v>1547793.7</v>
      </c>
      <c r="F53">
        <f t="shared" si="0"/>
        <v>19477532.16</v>
      </c>
    </row>
    <row r="54" spans="1:6" x14ac:dyDescent="0.2">
      <c r="A54" s="1">
        <v>46022</v>
      </c>
      <c r="B54" t="s">
        <v>65</v>
      </c>
      <c r="E54">
        <v>291749.86</v>
      </c>
      <c r="F54">
        <f t="shared" si="0"/>
        <v>19769282.02</v>
      </c>
    </row>
    <row r="55" spans="1:6" x14ac:dyDescent="0.2">
      <c r="A55" s="1">
        <v>46022</v>
      </c>
      <c r="B55" t="s">
        <v>66</v>
      </c>
      <c r="E55">
        <v>160461.13</v>
      </c>
      <c r="F55">
        <f t="shared" si="0"/>
        <v>19929743.149999999</v>
      </c>
    </row>
    <row r="56" spans="1:6" x14ac:dyDescent="0.2">
      <c r="A56" s="1">
        <v>46022</v>
      </c>
      <c r="B56" t="s">
        <v>67</v>
      </c>
      <c r="D56">
        <v>50000</v>
      </c>
      <c r="F56">
        <f t="shared" si="0"/>
        <v>19879743.149999999</v>
      </c>
    </row>
    <row r="57" spans="1:6" x14ac:dyDescent="0.2">
      <c r="A57" s="1">
        <v>46022</v>
      </c>
      <c r="B57" t="s">
        <v>68</v>
      </c>
      <c r="C57" t="s">
        <v>69</v>
      </c>
      <c r="E57">
        <v>36000</v>
      </c>
      <c r="F57">
        <f t="shared" si="0"/>
        <v>19915743.149999999</v>
      </c>
    </row>
    <row r="58" spans="1:6" x14ac:dyDescent="0.2">
      <c r="A58" s="1">
        <v>46022</v>
      </c>
      <c r="B58" t="s">
        <v>70</v>
      </c>
      <c r="D58">
        <v>58945.81</v>
      </c>
      <c r="F58">
        <f t="shared" si="0"/>
        <v>19856797.34</v>
      </c>
    </row>
    <row r="59" spans="1:6" x14ac:dyDescent="0.2">
      <c r="A59" s="1">
        <v>46022</v>
      </c>
      <c r="B59" t="s">
        <v>71</v>
      </c>
      <c r="C59" t="s">
        <v>48</v>
      </c>
      <c r="E59">
        <v>3318</v>
      </c>
      <c r="F59">
        <f t="shared" si="0"/>
        <v>19860115.34</v>
      </c>
    </row>
    <row r="60" spans="1:6" x14ac:dyDescent="0.2">
      <c r="A60" s="1">
        <v>46022</v>
      </c>
      <c r="B60" t="s">
        <v>72</v>
      </c>
      <c r="E60">
        <v>0.1</v>
      </c>
      <c r="F60">
        <f t="shared" si="0"/>
        <v>19860115.440000001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Valley_FINAL_After_21Oct</vt:lpstr>
      <vt:lpstr>VALLEY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Yelena Enthin</cp:lastModifiedBy>
  <dcterms:created xsi:type="dcterms:W3CDTF">2026-01-26T11:19:55Z</dcterms:created>
  <dcterms:modified xsi:type="dcterms:W3CDTF">2026-01-26T11:19:55Z</dcterms:modified>
</cp:coreProperties>
</file>